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amila_francorestrepo_un_org/Documents/Documents/GITHUB/ESCWA_FORECAST051225/Input/"/>
    </mc:Choice>
  </mc:AlternateContent>
  <xr:revisionPtr revIDLastSave="8" documentId="8_{C0B1D765-191E-4C99-9E1E-181948F996E4}" xr6:coauthVersionLast="47" xr6:coauthVersionMax="47" xr10:uidLastSave="{48BDBFC1-9240-4EF3-A78E-45F007AC7887}"/>
  <bookViews>
    <workbookView xWindow="-120" yWindow="-120" windowWidth="29040" windowHeight="15720" xr2:uid="{8E7408C9-8470-4ABB-B0F8-1C1C0B86E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I12" i="1"/>
  <c r="B12" i="1"/>
  <c r="C12" i="1" s="1"/>
  <c r="D12" i="1" s="1"/>
  <c r="E12" i="1" s="1"/>
  <c r="F12" i="1" s="1"/>
  <c r="G12" i="1" s="1"/>
  <c r="H12" i="1" s="1"/>
  <c r="B6" i="1" l="1"/>
</calcChain>
</file>

<file path=xl/sharedStrings.xml><?xml version="1.0" encoding="utf-8"?>
<sst xmlns="http://schemas.openxmlformats.org/spreadsheetml/2006/main" count="19" uniqueCount="19">
  <si>
    <t>2017 USD PPP</t>
  </si>
  <si>
    <t>Value</t>
  </si>
  <si>
    <t>Currency</t>
  </si>
  <si>
    <r>
      <rPr>
        <b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2017 USD PPP is equivalent to</t>
    </r>
  </si>
  <si>
    <r>
      <t xml:space="preserve">2017 </t>
    </r>
    <r>
      <rPr>
        <b/>
        <sz val="11"/>
        <color theme="1"/>
        <rFont val="Calibri"/>
        <family val="2"/>
        <scheme val="minor"/>
      </rPr>
      <t xml:space="preserve">JOD 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Local Currency Unit</t>
    </r>
    <r>
      <rPr>
        <sz val="11"/>
        <color theme="1"/>
        <rFont val="Calibri"/>
        <family val="2"/>
        <scheme val="minor"/>
      </rPr>
      <t>)</t>
    </r>
  </si>
  <si>
    <t xml:space="preserve">2017 JOD </t>
  </si>
  <si>
    <t>2025 JOD</t>
  </si>
  <si>
    <t>Per capita, Per day</t>
  </si>
  <si>
    <t>Inflation data - CPI yearly average</t>
  </si>
  <si>
    <t>Real USD (2025)</t>
  </si>
  <si>
    <t xml:space="preserve">Currency Exchange rate - One JOD is equivalent to </t>
  </si>
  <si>
    <t>USD</t>
  </si>
  <si>
    <t>https://data.worldbank.org/indicator/PA.NUS.FCRF</t>
  </si>
  <si>
    <t>https://data.worldbank.org/indicator/NY.GDP.DEFL.KD.ZG</t>
  </si>
  <si>
    <t>https://data.worldbank.org/indicator/PA.NUS.PPP</t>
  </si>
  <si>
    <t>https://en.wikipedia.org/wiki/Poverty_threshold</t>
  </si>
  <si>
    <t>Poverty line for Upper-Middle-Income countries</t>
  </si>
  <si>
    <t>Definition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</si>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</sst>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3" xfId="0" applyFill="1" applyBorder="1" applyAlignment="1">
      <alignment horizontal="center"/>
    </xf>
    <xf numFmtId="0" fontId="1" fillId="2" borderId="2" xfId="0" applyFont="1" applyFill="1" applyBorder="1"/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1" xfId="0" applyFont="1" applyBorder="1"/>
    <xf numFmtId="0" fontId="1" fillId="0" borderId="1" xfId="0" applyFon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5" xfId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" fillId="0" borderId="0" xfId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2" fillId="0" borderId="11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worldbank.org/indicator/NY.GDP.DEFL.KD.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EBBD-AAA7-4284-9647-2A1E27E5A45B}">
  <dimension ref="A1:N13"/>
  <sheetViews>
    <sheetView tabSelected="1" workbookViewId="0">
      <selection activeCell="B6" sqref="B6"/>
    </sheetView>
  </sheetViews>
  <sheetFormatPr defaultRowHeight="15" x14ac:dyDescent="0.25"/>
  <cols>
    <col min="1" max="1" width="42.7109375" bestFit="1" customWidth="1"/>
    <col min="3" max="3" width="27" bestFit="1" customWidth="1"/>
    <col min="7" max="7" width="9.7109375" customWidth="1"/>
  </cols>
  <sheetData>
    <row r="1" spans="1:14" ht="15.75" thickBot="1" x14ac:dyDescent="0.3">
      <c r="J1" s="30" t="s">
        <v>18</v>
      </c>
      <c r="K1" s="31"/>
      <c r="L1" s="31"/>
      <c r="M1" s="31"/>
      <c r="N1" s="32"/>
    </row>
    <row r="2" spans="1:14" ht="15.75" thickBot="1" x14ac:dyDescent="0.3">
      <c r="A2" s="27" t="s">
        <v>17</v>
      </c>
      <c r="B2" s="24" t="s">
        <v>1</v>
      </c>
      <c r="C2" s="23" t="s">
        <v>2</v>
      </c>
    </row>
    <row r="3" spans="1:14" ht="15.75" thickBot="1" x14ac:dyDescent="0.3">
      <c r="A3" s="26" t="s">
        <v>16</v>
      </c>
      <c r="B3" s="25">
        <v>6.85</v>
      </c>
      <c r="C3" s="22" t="s">
        <v>0</v>
      </c>
      <c r="J3" s="44" t="s">
        <v>15</v>
      </c>
      <c r="K3" s="45"/>
      <c r="L3" s="45"/>
      <c r="M3" s="45"/>
      <c r="N3" s="46"/>
    </row>
    <row r="4" spans="1:14" x14ac:dyDescent="0.25">
      <c r="A4" s="33" t="s">
        <v>7</v>
      </c>
      <c r="B4" s="28">
        <f>B3*B8</f>
        <v>2.1340555846691136</v>
      </c>
      <c r="C4" s="20" t="s">
        <v>5</v>
      </c>
    </row>
    <row r="5" spans="1:14" x14ac:dyDescent="0.25">
      <c r="A5" s="33"/>
      <c r="B5" s="28">
        <f>B4*I12</f>
        <v>2.4205249368451671</v>
      </c>
      <c r="C5" s="20" t="s">
        <v>6</v>
      </c>
    </row>
    <row r="6" spans="1:14" ht="15.75" thickBot="1" x14ac:dyDescent="0.3">
      <c r="A6" s="34"/>
      <c r="B6" s="29">
        <f>B5*B13</f>
        <v>3.4091900513491313</v>
      </c>
      <c r="C6" s="21" t="s">
        <v>9</v>
      </c>
    </row>
    <row r="7" spans="1:14" ht="15.75" thickBot="1" x14ac:dyDescent="0.3"/>
    <row r="8" spans="1:14" ht="15.75" thickBot="1" x14ac:dyDescent="0.3">
      <c r="A8" s="1" t="s">
        <v>3</v>
      </c>
      <c r="B8" s="17">
        <v>0.31154096126556402</v>
      </c>
      <c r="C8" s="2" t="s">
        <v>4</v>
      </c>
      <c r="D8" s="2"/>
      <c r="E8" s="2"/>
      <c r="F8" s="2"/>
      <c r="G8" s="3"/>
      <c r="H8" s="2"/>
      <c r="I8" s="3"/>
      <c r="J8" s="44" t="s">
        <v>14</v>
      </c>
      <c r="K8" s="45"/>
      <c r="L8" s="45"/>
      <c r="M8" s="45"/>
      <c r="N8" s="46"/>
    </row>
    <row r="9" spans="1:14" x14ac:dyDescent="0.25">
      <c r="A9" s="4" t="s">
        <v>8</v>
      </c>
      <c r="B9" s="4"/>
      <c r="C9" s="5"/>
      <c r="D9" s="5"/>
      <c r="E9" s="5"/>
      <c r="F9" s="5"/>
      <c r="G9" s="6"/>
      <c r="H9" s="5"/>
      <c r="I9" s="6"/>
      <c r="J9" s="35" t="s">
        <v>13</v>
      </c>
      <c r="K9" s="36"/>
      <c r="L9" s="36"/>
      <c r="M9" s="36"/>
      <c r="N9" s="37"/>
    </row>
    <row r="10" spans="1:14" x14ac:dyDescent="0.25">
      <c r="A10" s="7"/>
      <c r="B10" s="18">
        <v>2017</v>
      </c>
      <c r="C10" s="8">
        <v>2018</v>
      </c>
      <c r="D10" s="8">
        <v>2019</v>
      </c>
      <c r="E10" s="8">
        <v>2020</v>
      </c>
      <c r="F10" s="8">
        <v>2021</v>
      </c>
      <c r="G10" s="9">
        <v>2022</v>
      </c>
      <c r="H10" s="8">
        <v>2023</v>
      </c>
      <c r="I10" s="9">
        <v>2024</v>
      </c>
      <c r="J10" s="38"/>
      <c r="K10" s="39"/>
      <c r="L10" s="39"/>
      <c r="M10" s="39"/>
      <c r="N10" s="40"/>
    </row>
    <row r="11" spans="1:14" x14ac:dyDescent="0.25">
      <c r="A11" s="7"/>
      <c r="B11" s="18">
        <v>1.78355010971296</v>
      </c>
      <c r="C11" s="8">
        <v>2.2730468059104254</v>
      </c>
      <c r="D11" s="8">
        <v>0.84435565685406289</v>
      </c>
      <c r="E11" s="8">
        <v>-0.70858797027952392</v>
      </c>
      <c r="F11" s="8">
        <v>2.2036043491637969</v>
      </c>
      <c r="G11" s="9">
        <v>2.6160732013135117</v>
      </c>
      <c r="H11" s="8">
        <v>1.8279159257534161</v>
      </c>
      <c r="I11" s="9">
        <v>1.8951010218344493</v>
      </c>
      <c r="J11" s="38"/>
      <c r="K11" s="39"/>
      <c r="L11" s="39"/>
      <c r="M11" s="39"/>
      <c r="N11" s="40"/>
    </row>
    <row r="12" spans="1:14" ht="15.75" thickBot="1" x14ac:dyDescent="0.3">
      <c r="A12" s="19">
        <v>1</v>
      </c>
      <c r="B12" s="10">
        <f>A12*(1+B11/100)</f>
        <v>1.0178355010971296</v>
      </c>
      <c r="C12" s="11">
        <f t="shared" ref="C12:I12" si="0">B12*(1+C11/100)</f>
        <v>1.0409713784442403</v>
      </c>
      <c r="D12" s="11">
        <f t="shared" si="0"/>
        <v>1.0497608791643658</v>
      </c>
      <c r="E12" s="11">
        <f t="shared" si="0"/>
        <v>1.0423223998579065</v>
      </c>
      <c r="F12" s="11">
        <f t="shared" si="0"/>
        <v>1.0652910615934839</v>
      </c>
      <c r="G12" s="12">
        <f t="shared" si="0"/>
        <v>1.0931598555718192</v>
      </c>
      <c r="H12" s="11">
        <f t="shared" si="0"/>
        <v>1.1131418986657595</v>
      </c>
      <c r="I12" s="12">
        <f>H12*(1+I11/100)</f>
        <v>1.1342370621618418</v>
      </c>
      <c r="J12" s="41"/>
      <c r="K12" s="42"/>
      <c r="L12" s="42"/>
      <c r="M12" s="42"/>
      <c r="N12" s="43"/>
    </row>
    <row r="13" spans="1:14" ht="15.75" thickBot="1" x14ac:dyDescent="0.3">
      <c r="A13" s="13" t="s">
        <v>10</v>
      </c>
      <c r="B13" s="13">
        <v>1.4084507040000001</v>
      </c>
      <c r="C13" s="16" t="s">
        <v>11</v>
      </c>
      <c r="D13" s="14"/>
      <c r="E13" s="14"/>
      <c r="F13" s="14"/>
      <c r="G13" s="15"/>
      <c r="H13" s="14"/>
      <c r="I13" s="15"/>
      <c r="J13" s="44" t="s">
        <v>12</v>
      </c>
      <c r="K13" s="45"/>
      <c r="L13" s="45"/>
      <c r="M13" s="45"/>
      <c r="N13" s="46"/>
    </row>
  </sheetData>
  <mergeCells count="6">
    <mergeCell ref="J1:N1"/>
    <mergeCell ref="A4:A6"/>
    <mergeCell ref="J9:N12"/>
    <mergeCell ref="J8:N8"/>
    <mergeCell ref="J13:N13"/>
    <mergeCell ref="J3:N3"/>
  </mergeCells>
  <hyperlinks>
    <hyperlink ref="J9" r:id="rId1" xr:uid="{B3532E4F-D538-450F-891B-A58599B8B7B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Camila Franco Restrepo</cp:lastModifiedBy>
  <dcterms:created xsi:type="dcterms:W3CDTF">2025-08-06T07:40:51Z</dcterms:created>
  <dcterms:modified xsi:type="dcterms:W3CDTF">2025-12-08T10:31:40Z</dcterms:modified>
</cp:coreProperties>
</file>